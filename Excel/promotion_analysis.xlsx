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8dd262e8745b0b/เอกสาร/Project Data/Project 1 (Gayanara  Toko Fashion Online)/Tingkat Menengah/project 2 (Menengah)/"/>
    </mc:Choice>
  </mc:AlternateContent>
  <xr:revisionPtr revIDLastSave="0" documentId="8_{C946A873-3B21-4A12-BF27-1C3198DD68E8}" xr6:coauthVersionLast="45" xr6:coauthVersionMax="45" xr10:uidLastSave="{00000000-0000-0000-0000-000000000000}"/>
  <bookViews>
    <workbookView xWindow="-110" yWindow="-110" windowWidth="19420" windowHeight="10300" activeTab="2" xr2:uid="{6D41AA8F-463A-47F8-BE27-E50047A1EBCD}"/>
  </bookViews>
  <sheets>
    <sheet name="Sheet3" sheetId="3" r:id="rId1"/>
    <sheet name="Sheet5" sheetId="5" r:id="rId2"/>
    <sheet name="Sheet6" sheetId="6" r:id="rId3"/>
    <sheet name="Sheet2" sheetId="2" r:id="rId4"/>
  </sheets>
  <definedNames>
    <definedName name="ExternalData_1" localSheetId="3" hidden="1">Sheet2!$A$2:$E$4</definedName>
    <definedName name="ExternalData_2" localSheetId="1" hidden="1">Sheet5!$A$1:$F$10</definedName>
  </definedNames>
  <calcPr calcId="191029"/>
  <pivotCaches>
    <pivotCache cacheId="6" r:id="rId5"/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3" l="1"/>
  <c r="G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A0C345-FB5B-46A0-BA97-703C6013CCA0}" keepAlive="1" name="Query - _WITH_cleaned_orders_AS_SELECT_order_id_promo_code_Mengubah_tota_202608191115" description="Connection to the '_WITH_cleaned_orders_AS_SELECT_order_id_promo_code_Mengubah_tota_202608191115' query in the workbook." type="5" refreshedVersion="6" background="1" saveData="1">
    <dbPr connection="Provider=Microsoft.Mashup.OleDb.1;Data Source=$Workbook$;Location=_WITH_cleaned_orders_AS_SELECT_order_id_promo_code_Mengubah_tota_202608191115;Extended Properties=&quot;&quot;" command="SELECT * FROM [_WITH_cleaned_orders_AS_SELECT_order_id_promo_code_Mengubah_tota_202608191115]"/>
  </connection>
  <connection id="2" xr16:uid="{BCD9BD81-878A-4CB2-A82F-AF9199A9C134}" keepAlive="1" name="Query - _WITH_cleaned_orders_AS_SELECT_order_id_promo_code_Mengubah_tota_202608191326" description="Connection to the '_WITH_cleaned_orders_AS_SELECT_order_id_promo_code_Mengubah_tota_202608191326' query in the workbook." type="5" refreshedVersion="6" background="1" saveData="1">
    <dbPr connection="Provider=Microsoft.Mashup.OleDb.1;Data Source=$Workbook$;Location=_WITH_cleaned_orders_AS_SELECT_order_id_promo_code_Mengubah_tota_202608191326;Extended Properties=&quot;&quot;" command="SELECT * FROM [_WITH_cleaned_orders_AS_SELECT_order_id_promo_code_Mengubah_tota_202608191326]"/>
  </connection>
</connections>
</file>

<file path=xl/sharedStrings.xml><?xml version="1.0" encoding="utf-8"?>
<sst xmlns="http://schemas.openxmlformats.org/spreadsheetml/2006/main" count="70" uniqueCount="28">
  <si>
    <t>promo_segment</t>
  </si>
  <si>
    <t>total_orders</t>
  </si>
  <si>
    <t>total_revenue</t>
  </si>
  <si>
    <t>total_discount</t>
  </si>
  <si>
    <t>aov</t>
  </si>
  <si>
    <t>No Promo</t>
  </si>
  <si>
    <t>With Promo</t>
  </si>
  <si>
    <t>Sum of aov</t>
  </si>
  <si>
    <t>Row Labels</t>
  </si>
  <si>
    <t>Grand Total</t>
  </si>
  <si>
    <t>Average of aov</t>
  </si>
  <si>
    <t>Sum of total_revenue</t>
  </si>
  <si>
    <t>Sum of total_discount</t>
  </si>
  <si>
    <t>Total Order</t>
  </si>
  <si>
    <t>Sum of total_orders</t>
  </si>
  <si>
    <t>promo_code</t>
  </si>
  <si>
    <t>TANPA PROMO</t>
  </si>
  <si>
    <t>SALE2024</t>
  </si>
  <si>
    <t>NEWUSER</t>
  </si>
  <si>
    <t>HARI BELANJA</t>
  </si>
  <si>
    <t>MEMBER10</t>
  </si>
  <si>
    <t>RAMADAN23</t>
  </si>
  <si>
    <t>HARBOLNAS22</t>
  </si>
  <si>
    <t>FLASHSALE</t>
  </si>
  <si>
    <t>WEEKEND25</t>
  </si>
  <si>
    <t xml:space="preserve">Sum of Discon Rate </t>
  </si>
  <si>
    <t xml:space="preserve">Difference </t>
  </si>
  <si>
    <t>Difference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</si>
</sst>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_-* #,##0_-;\-* #,##0_-;_-* &quot;-&quot;??_-;_-@_-"/>
    <numFmt numFmtId="169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167" fontId="0" fillId="0" borderId="0" xfId="1" applyNumberFormat="1" applyFont="1"/>
    <xf numFmtId="4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7" fontId="0" fillId="0" borderId="0" xfId="0" applyNumberFormat="1" applyAlignment="1">
      <alignment horizontal="left" indent="1"/>
    </xf>
    <xf numFmtId="10" fontId="0" fillId="0" borderId="0" xfId="0" applyNumberFormat="1"/>
    <xf numFmtId="169" fontId="0" fillId="0" borderId="0" xfId="0" applyNumberFormat="1"/>
    <xf numFmtId="0" fontId="0" fillId="0" borderId="1" xfId="0" applyBorder="1"/>
    <xf numFmtId="0" fontId="2" fillId="2" borderId="1" xfId="0" applyFont="1" applyFill="1" applyBorder="1"/>
    <xf numFmtId="167" fontId="0" fillId="0" borderId="1" xfId="0" applyNumberFormat="1" applyBorder="1"/>
    <xf numFmtId="169" fontId="0" fillId="0" borderId="1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4" formatCode="0.00%"/>
    </dxf>
    <dxf>
      <numFmt numFmtId="14" formatCode="0.0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0" formatCode="General"/>
    </dxf>
    <dxf>
      <numFmt numFmtId="0" formatCode="General"/>
    </dxf>
    <dxf>
      <numFmt numFmtId="167" formatCode="_-* #,##0_-;\-* #,##0_-;_-* &quot;-&quot;??_-;_-@_-"/>
    </dxf>
    <dxf>
      <numFmt numFmtId="14" formatCode="0.00%"/>
    </dxf>
    <dxf>
      <numFmt numFmtId="169" formatCode="0.0%"/>
    </dxf>
    <dxf>
      <numFmt numFmtId="35" formatCode="_-* #,##0.00_-;\-* #,##0.0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53.476356134262" createdVersion="6" refreshedVersion="6" minRefreshableVersion="3" recordCount="2" xr:uid="{914EF2D9-4D77-4E34-9E00-6E226CE2C2AF}">
  <cacheSource type="worksheet">
    <worksheetSource name="_WITH_cleaned_orders_AS_SELECT_order_id_promo_code_Mengubah_tota_202608191115"/>
  </cacheSource>
  <cacheFields count="5">
    <cacheField name="promo_segment" numFmtId="0">
      <sharedItems count="2">
        <s v="No Promo"/>
        <s v="With Promo"/>
      </sharedItems>
    </cacheField>
    <cacheField name="total_orders" numFmtId="167">
      <sharedItems containsSemiMixedTypes="0" containsString="0" containsNumber="1" containsInteger="1" minValue="717" maxValue="1059" count="2">
        <n v="1059"/>
        <n v="717"/>
      </sharedItems>
    </cacheField>
    <cacheField name="total_revenue" numFmtId="167">
      <sharedItems containsSemiMixedTypes="0" containsString="0" containsNumber="1" containsInteger="1" minValue="337533049" maxValue="540219000"/>
    </cacheField>
    <cacheField name="total_discount" numFmtId="0">
      <sharedItems containsSemiMixedTypes="0" containsString="0" containsNumber="1" containsInteger="1" minValue="0" maxValue="22184951" count="2">
        <n v="0"/>
        <n v="22184951"/>
      </sharedItems>
    </cacheField>
    <cacheField name="aov" numFmtId="43">
      <sharedItems containsSemiMixedTypes="0" containsString="0" containsNumber="1" minValue="470757.39" maxValue="510121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53.563273495369" createdVersion="6" refreshedVersion="6" minRefreshableVersion="3" recordCount="9" xr:uid="{ABAADBE6-61A4-458C-ABDB-7DED3E1F4AAC}">
  <cacheSource type="worksheet">
    <worksheetSource name="_WITH_cleaned_orders_AS_SELECT_order_id_promo_code_Mengubah_tota_202608191326"/>
  </cacheSource>
  <cacheFields count="7">
    <cacheField name="promo_code" numFmtId="0">
      <sharedItems count="9">
        <s v="TANPA PROMO"/>
        <s v="SALE2024"/>
        <s v="NEWUSER"/>
        <s v="HARI BELANJA"/>
        <s v="MEMBER10"/>
        <s v="RAMADAN23"/>
        <s v="HARBOLNAS22"/>
        <s v="FLASHSALE"/>
        <s v="WEEKEND25"/>
      </sharedItems>
    </cacheField>
    <cacheField name="promo_segment" numFmtId="0">
      <sharedItems count="2">
        <s v="No Promo"/>
        <s v="With Promo"/>
      </sharedItems>
    </cacheField>
    <cacheField name="total_orders" numFmtId="167">
      <sharedItems containsSemiMixedTypes="0" containsString="0" containsNumber="1" containsInteger="1" minValue="80" maxValue="1059"/>
    </cacheField>
    <cacheField name="total_revenue" numFmtId="167">
      <sharedItems containsSemiMixedTypes="0" containsString="0" containsNumber="1" containsInteger="1" minValue="35349904" maxValue="540219000"/>
    </cacheField>
    <cacheField name="total_discount" numFmtId="0">
      <sharedItems containsSemiMixedTypes="0" containsString="0" containsNumber="1" containsInteger="1" minValue="0" maxValue="3257829"/>
    </cacheField>
    <cacheField name="aov" numFmtId="167">
      <sharedItems containsSemiMixedTypes="0" containsString="0" containsNumber="1" minValue="411045.4" maxValue="541775.51"/>
    </cacheField>
    <cacheField name="Discon Rate " numFmtId="0" formula="total_discount /total_revenu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n v="540219000"/>
    <x v="0"/>
    <n v="510121.81"/>
  </r>
  <r>
    <x v="1"/>
    <x v="1"/>
    <n v="337533049"/>
    <x v="1"/>
    <n v="470757.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1059"/>
    <n v="540219000"/>
    <n v="0"/>
    <n v="510121.81"/>
  </r>
  <r>
    <x v="1"/>
    <x v="1"/>
    <n v="91"/>
    <n v="49301571"/>
    <n v="2801429"/>
    <n v="541775.51"/>
  </r>
  <r>
    <x v="2"/>
    <x v="1"/>
    <n v="103"/>
    <n v="46449171"/>
    <n v="3257829"/>
    <n v="450962.83"/>
  </r>
  <r>
    <x v="3"/>
    <x v="1"/>
    <n v="89"/>
    <n v="45026734"/>
    <n v="2825266"/>
    <n v="505918.36"/>
  </r>
  <r>
    <x v="4"/>
    <x v="1"/>
    <n v="99"/>
    <n v="44005447"/>
    <n v="2965553"/>
    <n v="444499.46"/>
  </r>
  <r>
    <x v="5"/>
    <x v="1"/>
    <n v="86"/>
    <n v="42063909"/>
    <n v="2768091"/>
    <n v="489115.22"/>
  </r>
  <r>
    <x v="6"/>
    <x v="1"/>
    <n v="80"/>
    <n v="39514624"/>
    <n v="2590376"/>
    <n v="493932.79999999999"/>
  </r>
  <r>
    <x v="7"/>
    <x v="1"/>
    <n v="83"/>
    <n v="35821689"/>
    <n v="2518311"/>
    <n v="431586.61"/>
  </r>
  <r>
    <x v="8"/>
    <x v="1"/>
    <n v="86"/>
    <n v="35349904"/>
    <n v="2458096"/>
    <n v="411045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A00E4-6DB9-49AA-AE7D-415EFDAD8623}" name="PivotTable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Total Order">
  <location ref="F5:F6" firstHeaderRow="1" firstDataRow="1" firstDataCol="0" rowPageCount="1" colPageCount="1"/>
  <pivotFields count="5">
    <pivotField axis="axisPage" multipleItemSelectionAllowed="1" showAll="0">
      <items count="3">
        <item h="1" x="0"/>
        <item x="1"/>
        <item t="default"/>
      </items>
    </pivotField>
    <pivotField numFmtId="167" showAll="0">
      <items count="3">
        <item x="1"/>
        <item x="0"/>
        <item t="default"/>
      </items>
    </pivotField>
    <pivotField numFmtId="167" showAll="0"/>
    <pivotField showAll="0">
      <items count="3">
        <item x="0"/>
        <item x="1"/>
        <item t="default"/>
      </items>
    </pivotField>
    <pivotField dataField="1" numFmtId="43" showAll="0"/>
  </pivotFields>
  <rowItems count="1">
    <i/>
  </rowItems>
  <colItems count="1">
    <i/>
  </colItems>
  <pageFields count="1">
    <pageField fld="0" hier="-1"/>
  </pageFields>
  <dataFields count="1">
    <dataField name="Sum of aov" fld="4" baseField="0" baseItem="0"/>
  </dataFields>
  <formats count="4">
    <format dxfId="3">
      <pivotArea outline="0" collapsedLevelsAreSubtotals="1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18078-3A96-4672-BC35-B96D1BB93F14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Total Order">
  <location ref="A3:C8" firstHeaderRow="0" firstDataRow="1" firstDataCol="1"/>
  <pivotFields count="5">
    <pivotField axis="axisRow" showAll="0">
      <items count="3">
        <item x="0"/>
        <item x="1"/>
        <item t="default"/>
      </items>
    </pivotField>
    <pivotField axis="axisRow" dataField="1" numFmtId="167" showAll="0">
      <items count="3">
        <item x="1"/>
        <item x="0"/>
        <item t="default"/>
      </items>
    </pivotField>
    <pivotField numFmtId="167" showAll="0"/>
    <pivotField showAll="0">
      <items count="3">
        <item x="0"/>
        <item x="1"/>
        <item t="default"/>
      </items>
    </pivotField>
    <pivotField dataField="1" numFmtId="43" showAll="0"/>
  </pivotFields>
  <rowFields count="2">
    <field x="0"/>
    <field x="1"/>
  </rowFields>
  <rowItems count="5">
    <i>
      <x/>
    </i>
    <i r="1">
      <x v="1"/>
    </i>
    <i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ov" fld="4" subtotal="average" baseField="3" baseItem="0" numFmtId="167"/>
    <dataField name="Sum of total_orders" fld="1" showDataAs="percentOfTotal" baseField="0" baseItem="0" numFmtId="169"/>
  </dataFields>
  <formats count="3">
    <format dxfId="14">
      <pivotArea outline="0" collapsedLevelsAreSubtotals="1" fieldPosition="0"/>
    </format>
    <format dxfId="15">
      <pivotArea outline="0" fieldPosition="0">
        <references count="1">
          <reference field="4294967294" count="1"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67813-D8BF-464D-B9AA-67CBCC77DC5B}" name="PivotTable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7:C27" firstHeaderRow="0" firstDataRow="1" firstDataCol="1"/>
  <pivotFields count="7">
    <pivotField axis="axisRow" showAll="0" sortType="descending">
      <items count="10">
        <item x="7"/>
        <item x="6"/>
        <item x="3"/>
        <item x="4"/>
        <item x="2"/>
        <item x="5"/>
        <item x="1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numFmtId="167" showAll="0"/>
    <pivotField numFmtId="167" showAll="0"/>
    <pivotField showAll="0"/>
    <pivotField dataField="1" numFmtId="167" showAll="0"/>
    <pivotField dataField="1" dragToRow="0" dragToCol="0" dragToPage="0" showAll="0" defaultSubtotal="0"/>
  </pivotFields>
  <rowFields count="1">
    <field x="0"/>
  </rowFields>
  <rowItems count="10">
    <i>
      <x v="6"/>
    </i>
    <i>
      <x v="7"/>
    </i>
    <i>
      <x v="2"/>
    </i>
    <i>
      <x v="1"/>
    </i>
    <i>
      <x v="5"/>
    </i>
    <i>
      <x v="4"/>
    </i>
    <i>
      <x v="3"/>
    </i>
    <i>
      <x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n Rate " fld="6" baseField="0" baseItem="0" numFmtId="10"/>
    <dataField name="Sum of aov" fld="5" baseField="0" baseItem="0" numFmtId="167"/>
  </dataFields>
  <formats count="2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D48E6-081D-48AE-9DA6-6CB9236270E8}" name="PivotTable3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3" firstHeaderRow="0" firstDataRow="1" firstDataCol="1"/>
  <pivotFields count="7">
    <pivotField axis="axisRow" showAll="0" sortType="descending">
      <items count="10">
        <item x="7"/>
        <item x="6"/>
        <item x="3"/>
        <item x="4"/>
        <item x="2"/>
        <item x="5"/>
        <item x="1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dataField="1" numFmtId="167" showAll="0"/>
    <pivotField dataField="1" numFmtId="167" showAll="0"/>
    <pivotField dataField="1" showAll="0"/>
    <pivotField numFmtId="167" showAll="0"/>
    <pivotField dataField="1" dragToRow="0" dragToCol="0" dragToPage="0" showAll="0" defaultSubtotal="0"/>
  </pivotFields>
  <rowFields count="1">
    <field x="0"/>
  </rowFields>
  <rowItems count="10">
    <i>
      <x/>
    </i>
    <i>
      <x v="4"/>
    </i>
    <i>
      <x v="8"/>
    </i>
    <i>
      <x v="3"/>
    </i>
    <i>
      <x v="5"/>
    </i>
    <i>
      <x v="1"/>
    </i>
    <i>
      <x v="2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orders" fld="2" baseField="0" baseItem="0"/>
    <dataField name="Sum of total_revenue" fld="3" baseField="0" baseItem="0" numFmtId="167"/>
    <dataField name="Sum of total_discount" fld="4" baseField="0" baseItem="0" numFmtId="167"/>
    <dataField name="Sum of Discon Rate " fld="6" baseField="0" baseItem="0" numFmtId="10"/>
  </dataFields>
  <formats count="3"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31C15CA-2F45-4220-BC03-DFA5B71692E5}" autoFormatId="16" applyNumberFormats="0" applyBorderFormats="0" applyFontFormats="0" applyPatternFormats="0" applyAlignmentFormats="0" applyWidthHeightFormats="0">
  <queryTableRefresh nextId="7">
    <queryTableFields count="6">
      <queryTableField id="1" name="promo_code" tableColumnId="1"/>
      <queryTableField id="2" name="promo_segment" tableColumnId="2"/>
      <queryTableField id="3" name="total_orders" tableColumnId="3"/>
      <queryTableField id="4" name="total_revenue" tableColumnId="4"/>
      <queryTableField id="5" name="total_discount" tableColumnId="5"/>
      <queryTableField id="6" name="aov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11E851-5A88-4E9B-AA01-68973FCF2E77}" autoFormatId="16" applyNumberFormats="0" applyBorderFormats="0" applyFontFormats="0" applyPatternFormats="0" applyAlignmentFormats="0" applyWidthHeightFormats="0">
  <queryTableRefresh nextId="6">
    <queryTableFields count="5">
      <queryTableField id="1" name="promo_segment" tableColumnId="1"/>
      <queryTableField id="2" name="total_orders" tableColumnId="2"/>
      <queryTableField id="3" name="total_revenue" tableColumnId="3"/>
      <queryTableField id="4" name="total_discount" tableColumnId="4"/>
      <queryTableField id="5" name="aov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2F9720-09AA-4470-B3E5-F516AF92C1BC}" name="_WITH_cleaned_orders_AS_SELECT_order_id_promo_code_Mengubah_tota_202608191326" displayName="_WITH_cleaned_orders_AS_SELECT_order_id_promo_code_Mengubah_tota_202608191326" ref="A1:F10" tableType="queryTable" totalsRowShown="0">
  <autoFilter ref="A1:F10" xr:uid="{AB76B3F4-DD76-4D7D-86E0-03CE61E68322}"/>
  <tableColumns count="6">
    <tableColumn id="1" xr3:uid="{3763C693-E53E-4407-8201-74152F91AA9C}" uniqueName="1" name="promo_code" queryTableFieldId="1" dataDxfId="13"/>
    <tableColumn id="2" xr3:uid="{3A39A8E4-9DE6-4C9A-A2E5-8A6DE3295742}" uniqueName="2" name="promo_segment" queryTableFieldId="2" dataDxfId="12"/>
    <tableColumn id="3" xr3:uid="{054A9C94-FA17-41C5-A0FC-86ACBA51F0F7}" uniqueName="3" name="total_orders" queryTableFieldId="3" dataDxfId="11" dataCellStyle="Comma"/>
    <tableColumn id="4" xr3:uid="{D1B0E1C2-1B92-401E-8C1A-522C358AEDA0}" uniqueName="4" name="total_revenue" queryTableFieldId="4" dataDxfId="10" dataCellStyle="Comma"/>
    <tableColumn id="5" xr3:uid="{2DC48AE0-2717-45C8-A20C-8C23A0C3E339}" uniqueName="5" name="total_discount" queryTableFieldId="5"/>
    <tableColumn id="6" xr3:uid="{9F45CAA1-252A-4839-80FC-3B710A6E6169}" uniqueName="6" name="aov" queryTableFieldId="6" dataDxfId="9" dataCellStyle="Comm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4A9480-7086-45DC-AABD-0880AF0B8C30}" name="_WITH_cleaned_orders_AS_SELECT_order_id_promo_code_Mengubah_tota_202608191115" displayName="_WITH_cleaned_orders_AS_SELECT_order_id_promo_code_Mengubah_tota_202608191115" ref="A2:E4" tableType="queryTable" totalsRowShown="0">
  <autoFilter ref="A2:E4" xr:uid="{4E7D738F-5571-43D1-99F7-149B8DBFEACC}"/>
  <tableColumns count="5">
    <tableColumn id="1" xr3:uid="{72CAAFF7-D85E-440C-9A78-B20A6493368A}" uniqueName="1" name="promo_segment" queryTableFieldId="1" dataDxfId="20"/>
    <tableColumn id="2" xr3:uid="{AE773950-43D2-4B80-B2D2-A900676E6637}" uniqueName="2" name="total_orders" queryTableFieldId="2" dataDxfId="19" dataCellStyle="Comma"/>
    <tableColumn id="3" xr3:uid="{F4ABA765-8692-426F-96A1-47F1EE3FA0DC}" uniqueName="3" name="total_revenue" queryTableFieldId="3" dataDxfId="18" dataCellStyle="Comma"/>
    <tableColumn id="4" xr3:uid="{3ACF61A9-AF99-4ECA-99C6-AF4AB4502A6F}" uniqueName="4" name="total_discount" queryTableFieldId="4"/>
    <tableColumn id="5" xr3:uid="{C713B334-32F3-4D77-BB8D-BADEBE1225EA}" uniqueName="5" name="aov" queryTableFieldId="5" dataDxfId="17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FB92-7C39-424D-9B66-CF8536F6BFDC}">
  <dimension ref="A3:H14"/>
  <sheetViews>
    <sheetView workbookViewId="0">
      <selection activeCell="F7" sqref="F7"/>
    </sheetView>
  </sheetViews>
  <sheetFormatPr defaultRowHeight="14.5" x14ac:dyDescent="0.35"/>
  <cols>
    <col min="1" max="1" width="14.6328125" bestFit="1" customWidth="1"/>
    <col min="2" max="2" width="13.08984375" bestFit="1" customWidth="1"/>
    <col min="3" max="3" width="17.7265625" bestFit="1" customWidth="1"/>
    <col min="4" max="4" width="10.7265625" bestFit="1" customWidth="1"/>
    <col min="5" max="5" width="13.6328125" bestFit="1" customWidth="1"/>
    <col min="6" max="6" width="14.6328125" bestFit="1" customWidth="1"/>
    <col min="7" max="7" width="15.08984375" customWidth="1"/>
    <col min="8" max="8" width="11.36328125" bestFit="1" customWidth="1"/>
    <col min="9" max="9" width="23.90625" bestFit="1" customWidth="1"/>
    <col min="10" max="10" width="24.26953125" bestFit="1" customWidth="1"/>
  </cols>
  <sheetData>
    <row r="3" spans="1:8" x14ac:dyDescent="0.35">
      <c r="A3" s="4" t="s">
        <v>13</v>
      </c>
      <c r="B3" t="s">
        <v>10</v>
      </c>
      <c r="C3" t="s">
        <v>14</v>
      </c>
      <c r="F3" s="4" t="s">
        <v>0</v>
      </c>
      <c r="G3" t="s">
        <v>6</v>
      </c>
    </row>
    <row r="4" spans="1:8" x14ac:dyDescent="0.35">
      <c r="A4" s="5" t="s">
        <v>5</v>
      </c>
      <c r="B4" s="6">
        <v>510121.81</v>
      </c>
      <c r="C4" s="9">
        <v>0.59628378378378377</v>
      </c>
    </row>
    <row r="5" spans="1:8" x14ac:dyDescent="0.35">
      <c r="A5" s="7">
        <v>1059</v>
      </c>
      <c r="B5" s="6">
        <v>510121.81</v>
      </c>
      <c r="C5" s="9">
        <v>0.59628378378378377</v>
      </c>
      <c r="F5" s="10" t="s">
        <v>7</v>
      </c>
      <c r="G5" s="11" t="s">
        <v>26</v>
      </c>
      <c r="H5" s="11" t="s">
        <v>27</v>
      </c>
    </row>
    <row r="6" spans="1:8" x14ac:dyDescent="0.35">
      <c r="A6" s="5" t="s">
        <v>6</v>
      </c>
      <c r="B6" s="6">
        <v>470757.39</v>
      </c>
      <c r="C6" s="9">
        <v>0.40371621621621623</v>
      </c>
      <c r="F6" s="12">
        <v>470757.39</v>
      </c>
      <c r="G6" s="12">
        <f>F6-B5</f>
        <v>-39364.419999999984</v>
      </c>
      <c r="H6" s="13">
        <f>(F6-B5)/B5</f>
        <v>-7.7166706516625869E-2</v>
      </c>
    </row>
    <row r="7" spans="1:8" x14ac:dyDescent="0.35">
      <c r="A7" s="7">
        <v>717</v>
      </c>
      <c r="B7" s="6">
        <v>470757.39</v>
      </c>
      <c r="C7" s="9">
        <v>0.40371621621621623</v>
      </c>
    </row>
    <row r="8" spans="1:8" x14ac:dyDescent="0.35">
      <c r="A8" s="5" t="s">
        <v>9</v>
      </c>
      <c r="B8" s="6">
        <v>490439.6</v>
      </c>
      <c r="C8" s="9">
        <v>1</v>
      </c>
    </row>
    <row r="13" spans="1:8" x14ac:dyDescent="0.35">
      <c r="E13" s="4"/>
      <c r="F13" s="4"/>
      <c r="G13" s="4"/>
    </row>
    <row r="14" spans="1:8" x14ac:dyDescent="0.35">
      <c r="E14" s="4"/>
      <c r="F14" s="4"/>
      <c r="G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461D-4E18-43B8-AF92-694730EAD4B0}">
  <dimension ref="A1:F10"/>
  <sheetViews>
    <sheetView zoomScale="78" workbookViewId="0">
      <selection activeCell="D19" sqref="D19"/>
    </sheetView>
  </sheetViews>
  <sheetFormatPr defaultRowHeight="14.5" x14ac:dyDescent="0.35"/>
  <cols>
    <col min="1" max="1" width="13.7265625" bestFit="1" customWidth="1"/>
    <col min="2" max="2" width="17" bestFit="1" customWidth="1"/>
    <col min="3" max="3" width="13.54296875" bestFit="1" customWidth="1"/>
    <col min="4" max="4" width="14.90625" bestFit="1" customWidth="1"/>
    <col min="5" max="5" width="15.36328125" bestFit="1" customWidth="1"/>
    <col min="6" max="6" width="8.90625" customWidth="1"/>
  </cols>
  <sheetData>
    <row r="1" spans="1:6" x14ac:dyDescent="0.3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 t="s">
        <v>16</v>
      </c>
      <c r="B2" s="1" t="s">
        <v>5</v>
      </c>
      <c r="C2" s="2">
        <v>1059</v>
      </c>
      <c r="D2" s="2">
        <v>540219000</v>
      </c>
      <c r="E2">
        <v>0</v>
      </c>
      <c r="F2" s="2">
        <v>510121.81</v>
      </c>
    </row>
    <row r="3" spans="1:6" x14ac:dyDescent="0.35">
      <c r="A3" s="1" t="s">
        <v>17</v>
      </c>
      <c r="B3" s="1" t="s">
        <v>6</v>
      </c>
      <c r="C3" s="2">
        <v>91</v>
      </c>
      <c r="D3" s="2">
        <v>49301571</v>
      </c>
      <c r="E3" s="2">
        <v>2801429</v>
      </c>
      <c r="F3" s="2">
        <v>541775.51</v>
      </c>
    </row>
    <row r="4" spans="1:6" x14ac:dyDescent="0.35">
      <c r="A4" s="1" t="s">
        <v>18</v>
      </c>
      <c r="B4" s="1" t="s">
        <v>6</v>
      </c>
      <c r="C4" s="2">
        <v>103</v>
      </c>
      <c r="D4" s="2">
        <v>46449171</v>
      </c>
      <c r="E4" s="2">
        <v>3257829</v>
      </c>
      <c r="F4" s="2">
        <v>450962.83</v>
      </c>
    </row>
    <row r="5" spans="1:6" x14ac:dyDescent="0.35">
      <c r="A5" s="1" t="s">
        <v>19</v>
      </c>
      <c r="B5" s="1" t="s">
        <v>6</v>
      </c>
      <c r="C5" s="2">
        <v>89</v>
      </c>
      <c r="D5" s="2">
        <v>45026734</v>
      </c>
      <c r="E5" s="2">
        <v>2825266</v>
      </c>
      <c r="F5" s="2">
        <v>505918.36</v>
      </c>
    </row>
    <row r="6" spans="1:6" x14ac:dyDescent="0.35">
      <c r="A6" s="1" t="s">
        <v>20</v>
      </c>
      <c r="B6" s="1" t="s">
        <v>6</v>
      </c>
      <c r="C6" s="2">
        <v>99</v>
      </c>
      <c r="D6" s="2">
        <v>44005447</v>
      </c>
      <c r="E6" s="2">
        <v>2965553</v>
      </c>
      <c r="F6" s="2">
        <v>444499.46</v>
      </c>
    </row>
    <row r="7" spans="1:6" x14ac:dyDescent="0.35">
      <c r="A7" s="1" t="s">
        <v>21</v>
      </c>
      <c r="B7" s="1" t="s">
        <v>6</v>
      </c>
      <c r="C7" s="2">
        <v>86</v>
      </c>
      <c r="D7" s="2">
        <v>42063909</v>
      </c>
      <c r="E7" s="2">
        <v>2768091</v>
      </c>
      <c r="F7" s="2">
        <v>489115.22</v>
      </c>
    </row>
    <row r="8" spans="1:6" x14ac:dyDescent="0.35">
      <c r="A8" s="1" t="s">
        <v>22</v>
      </c>
      <c r="B8" s="1" t="s">
        <v>6</v>
      </c>
      <c r="C8" s="2">
        <v>80</v>
      </c>
      <c r="D8" s="2">
        <v>39514624</v>
      </c>
      <c r="E8" s="2">
        <v>2590376</v>
      </c>
      <c r="F8" s="2">
        <v>493932.79999999999</v>
      </c>
    </row>
    <row r="9" spans="1:6" x14ac:dyDescent="0.35">
      <c r="A9" s="1" t="s">
        <v>23</v>
      </c>
      <c r="B9" s="1" t="s">
        <v>6</v>
      </c>
      <c r="C9" s="2">
        <v>83</v>
      </c>
      <c r="D9" s="2">
        <v>35821689</v>
      </c>
      <c r="E9" s="2">
        <v>2518311</v>
      </c>
      <c r="F9" s="2">
        <v>431586.61</v>
      </c>
    </row>
    <row r="10" spans="1:6" x14ac:dyDescent="0.35">
      <c r="A10" s="1" t="s">
        <v>24</v>
      </c>
      <c r="B10" s="1" t="s">
        <v>6</v>
      </c>
      <c r="C10" s="2">
        <v>86</v>
      </c>
      <c r="D10" s="2">
        <v>35349904</v>
      </c>
      <c r="E10" s="2">
        <v>2458096</v>
      </c>
      <c r="F10" s="2">
        <v>411045.4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2AED-ECE1-4B90-9BD5-4C1CBDE2B132}">
  <dimension ref="A3:E27"/>
  <sheetViews>
    <sheetView tabSelected="1" zoomScale="85" workbookViewId="0">
      <selection activeCell="G20" sqref="G20"/>
    </sheetView>
  </sheetViews>
  <sheetFormatPr defaultRowHeight="14.5" x14ac:dyDescent="0.35"/>
  <cols>
    <col min="1" max="1" width="13.6328125" bestFit="1" customWidth="1"/>
    <col min="2" max="2" width="17.81640625" bestFit="1" customWidth="1"/>
    <col min="3" max="3" width="19.453125" bestFit="1" customWidth="1"/>
    <col min="4" max="4" width="19.6328125" bestFit="1" customWidth="1"/>
    <col min="5" max="5" width="17.7265625" bestFit="1" customWidth="1"/>
    <col min="6" max="6" width="17.7265625" customWidth="1"/>
    <col min="7" max="9" width="15.26953125" bestFit="1" customWidth="1"/>
    <col min="10" max="10" width="10.7265625" bestFit="1" customWidth="1"/>
  </cols>
  <sheetData>
    <row r="3" spans="1:5" x14ac:dyDescent="0.35">
      <c r="A3" s="4" t="s">
        <v>8</v>
      </c>
      <c r="B3" t="s">
        <v>14</v>
      </c>
      <c r="C3" t="s">
        <v>11</v>
      </c>
      <c r="D3" t="s">
        <v>12</v>
      </c>
      <c r="E3" t="s">
        <v>25</v>
      </c>
    </row>
    <row r="4" spans="1:5" x14ac:dyDescent="0.35">
      <c r="A4" s="5" t="s">
        <v>23</v>
      </c>
      <c r="B4" s="1">
        <v>83</v>
      </c>
      <c r="C4" s="6">
        <v>35821689</v>
      </c>
      <c r="D4" s="6">
        <v>2518311</v>
      </c>
      <c r="E4" s="8">
        <v>7.0301291488516909E-2</v>
      </c>
    </row>
    <row r="5" spans="1:5" x14ac:dyDescent="0.35">
      <c r="A5" s="5" t="s">
        <v>18</v>
      </c>
      <c r="B5" s="1">
        <v>103</v>
      </c>
      <c r="C5" s="6">
        <v>46449171</v>
      </c>
      <c r="D5" s="6">
        <v>3257829</v>
      </c>
      <c r="E5" s="8">
        <v>7.0137505791007554E-2</v>
      </c>
    </row>
    <row r="6" spans="1:5" x14ac:dyDescent="0.35">
      <c r="A6" s="5" t="s">
        <v>24</v>
      </c>
      <c r="B6" s="1">
        <v>86</v>
      </c>
      <c r="C6" s="6">
        <v>35349904</v>
      </c>
      <c r="D6" s="6">
        <v>2458096</v>
      </c>
      <c r="E6" s="8">
        <v>6.9536143577645926E-2</v>
      </c>
    </row>
    <row r="7" spans="1:5" x14ac:dyDescent="0.35">
      <c r="A7" s="5" t="s">
        <v>20</v>
      </c>
      <c r="B7" s="1">
        <v>99</v>
      </c>
      <c r="C7" s="6">
        <v>44005447</v>
      </c>
      <c r="D7" s="6">
        <v>2965553</v>
      </c>
      <c r="E7" s="8">
        <v>6.7390589169563489E-2</v>
      </c>
    </row>
    <row r="8" spans="1:5" x14ac:dyDescent="0.35">
      <c r="A8" s="5" t="s">
        <v>21</v>
      </c>
      <c r="B8" s="1">
        <v>86</v>
      </c>
      <c r="C8" s="6">
        <v>42063909</v>
      </c>
      <c r="D8" s="6">
        <v>2768091</v>
      </c>
      <c r="E8" s="8">
        <v>6.580679413318434E-2</v>
      </c>
    </row>
    <row r="9" spans="1:5" x14ac:dyDescent="0.35">
      <c r="A9" s="5" t="s">
        <v>22</v>
      </c>
      <c r="B9" s="1">
        <v>80</v>
      </c>
      <c r="C9" s="6">
        <v>39514624</v>
      </c>
      <c r="D9" s="6">
        <v>2590376</v>
      </c>
      <c r="E9" s="8">
        <v>6.5554869002423008E-2</v>
      </c>
    </row>
    <row r="10" spans="1:5" x14ac:dyDescent="0.35">
      <c r="A10" s="5" t="s">
        <v>19</v>
      </c>
      <c r="B10" s="1">
        <v>89</v>
      </c>
      <c r="C10" s="6">
        <v>45026734</v>
      </c>
      <c r="D10" s="6">
        <v>2825266</v>
      </c>
      <c r="E10" s="8">
        <v>6.2746411942736058E-2</v>
      </c>
    </row>
    <row r="11" spans="1:5" x14ac:dyDescent="0.35">
      <c r="A11" s="5" t="s">
        <v>17</v>
      </c>
      <c r="B11" s="1">
        <v>91</v>
      </c>
      <c r="C11" s="6">
        <v>49301571</v>
      </c>
      <c r="D11" s="6">
        <v>2801429</v>
      </c>
      <c r="E11" s="8">
        <v>5.6822306940279857E-2</v>
      </c>
    </row>
    <row r="12" spans="1:5" x14ac:dyDescent="0.35">
      <c r="A12" s="5" t="s">
        <v>16</v>
      </c>
      <c r="B12" s="1">
        <v>1059</v>
      </c>
      <c r="C12" s="6">
        <v>540219000</v>
      </c>
      <c r="D12" s="6">
        <v>0</v>
      </c>
      <c r="E12" s="8">
        <v>0</v>
      </c>
    </row>
    <row r="13" spans="1:5" x14ac:dyDescent="0.35">
      <c r="A13" s="5" t="s">
        <v>9</v>
      </c>
      <c r="B13" s="1">
        <v>1776</v>
      </c>
      <c r="C13" s="6">
        <v>877752049</v>
      </c>
      <c r="D13" s="6">
        <v>22184951</v>
      </c>
      <c r="E13" s="8">
        <v>2.5274735644621661E-2</v>
      </c>
    </row>
    <row r="17" spans="1:3" x14ac:dyDescent="0.35">
      <c r="A17" s="4" t="s">
        <v>8</v>
      </c>
      <c r="B17" t="s">
        <v>25</v>
      </c>
      <c r="C17" t="s">
        <v>7</v>
      </c>
    </row>
    <row r="18" spans="1:3" x14ac:dyDescent="0.35">
      <c r="A18" s="5" t="s">
        <v>17</v>
      </c>
      <c r="B18" s="8">
        <v>5.6822306940279857E-2</v>
      </c>
      <c r="C18" s="6">
        <v>541775.51</v>
      </c>
    </row>
    <row r="19" spans="1:3" x14ac:dyDescent="0.35">
      <c r="A19" s="5" t="s">
        <v>16</v>
      </c>
      <c r="B19" s="8">
        <v>0</v>
      </c>
      <c r="C19" s="6">
        <v>510121.81</v>
      </c>
    </row>
    <row r="20" spans="1:3" x14ac:dyDescent="0.35">
      <c r="A20" s="5" t="s">
        <v>19</v>
      </c>
      <c r="B20" s="8">
        <v>6.2746411942736058E-2</v>
      </c>
      <c r="C20" s="6">
        <v>505918.36</v>
      </c>
    </row>
    <row r="21" spans="1:3" x14ac:dyDescent="0.35">
      <c r="A21" s="5" t="s">
        <v>22</v>
      </c>
      <c r="B21" s="8">
        <v>6.5554869002423008E-2</v>
      </c>
      <c r="C21" s="6">
        <v>493932.79999999999</v>
      </c>
    </row>
    <row r="22" spans="1:3" x14ac:dyDescent="0.35">
      <c r="A22" s="5" t="s">
        <v>21</v>
      </c>
      <c r="B22" s="8">
        <v>6.580679413318434E-2</v>
      </c>
      <c r="C22" s="6">
        <v>489115.22</v>
      </c>
    </row>
    <row r="23" spans="1:3" x14ac:dyDescent="0.35">
      <c r="A23" s="5" t="s">
        <v>18</v>
      </c>
      <c r="B23" s="8">
        <v>7.0137505791007554E-2</v>
      </c>
      <c r="C23" s="6">
        <v>450962.83</v>
      </c>
    </row>
    <row r="24" spans="1:3" x14ac:dyDescent="0.35">
      <c r="A24" s="5" t="s">
        <v>20</v>
      </c>
      <c r="B24" s="8">
        <v>6.7390589169563489E-2</v>
      </c>
      <c r="C24" s="6">
        <v>444499.46</v>
      </c>
    </row>
    <row r="25" spans="1:3" x14ac:dyDescent="0.35">
      <c r="A25" s="5" t="s">
        <v>23</v>
      </c>
      <c r="B25" s="8">
        <v>7.0301291488516909E-2</v>
      </c>
      <c r="C25" s="6">
        <v>431586.61</v>
      </c>
    </row>
    <row r="26" spans="1:3" x14ac:dyDescent="0.35">
      <c r="A26" s="5" t="s">
        <v>24</v>
      </c>
      <c r="B26" s="8">
        <v>6.9536143577645926E-2</v>
      </c>
      <c r="C26" s="6">
        <v>411045.4</v>
      </c>
    </row>
    <row r="27" spans="1:3" x14ac:dyDescent="0.35">
      <c r="A27" s="5" t="s">
        <v>9</v>
      </c>
      <c r="B27" s="8">
        <v>2.5274735644621661E-2</v>
      </c>
      <c r="C27" s="6">
        <v>4278958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5039-0722-4BD8-A497-4832EA0531FD}">
  <dimension ref="A2:E4"/>
  <sheetViews>
    <sheetView workbookViewId="0">
      <selection activeCell="A2" sqref="A2"/>
    </sheetView>
  </sheetViews>
  <sheetFormatPr defaultRowHeight="14.5" x14ac:dyDescent="0.35"/>
  <cols>
    <col min="1" max="1" width="17" bestFit="1" customWidth="1"/>
    <col min="2" max="2" width="13.54296875" bestFit="1" customWidth="1"/>
    <col min="3" max="3" width="14.90625" bestFit="1" customWidth="1"/>
    <col min="4" max="4" width="15.36328125" bestFit="1" customWidth="1"/>
    <col min="5" max="5" width="11.08984375" bestFit="1" customWidth="1"/>
  </cols>
  <sheetData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s="1" t="s">
        <v>5</v>
      </c>
      <c r="B3" s="2">
        <v>1059</v>
      </c>
      <c r="C3" s="2">
        <v>540219000</v>
      </c>
      <c r="D3">
        <v>0</v>
      </c>
      <c r="E3" s="3">
        <v>510121.81</v>
      </c>
    </row>
    <row r="4" spans="1:5" x14ac:dyDescent="0.35">
      <c r="A4" s="1" t="s">
        <v>6</v>
      </c>
      <c r="B4" s="2">
        <v>717</v>
      </c>
      <c r="C4" s="2">
        <v>337533049</v>
      </c>
      <c r="D4" s="2">
        <v>22184951</v>
      </c>
      <c r="E4" s="3">
        <v>470757.39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A4AC2-97B1-4C46-9E6F-F436936F3B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Sheet5</vt:lpstr>
      <vt:lpstr>Sheet6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Mohamad Faizal Khamami</cp:lastModifiedBy>
  <dcterms:created xsi:type="dcterms:W3CDTF">2026-08-19T04:19:11Z</dcterms:created>
  <dcterms:modified xsi:type="dcterms:W3CDTF">2026-08-19T16:40:10Z</dcterms:modified>
</cp:coreProperties>
</file>